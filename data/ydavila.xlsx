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c7c81f20a53ce1/Documentos/FIFI/data/"/>
    </mc:Choice>
  </mc:AlternateContent>
  <xr:revisionPtr revIDLastSave="19" documentId="13_ncr:1_{9D0DB320-8165-4D9C-9CD7-014CA6C6BE04}" xr6:coauthVersionLast="47" xr6:coauthVersionMax="47" xr10:uidLastSave="{DA445E85-9779-4277-BE5C-1D798174BC35}"/>
  <bookViews>
    <workbookView xWindow="-108" yWindow="-108" windowWidth="23256" windowHeight="12576" xr2:uid="{08AA2194-8E1D-4AF5-8E4B-B1A25E802466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" l="1"/>
  <c r="J52" i="1" s="1"/>
  <c r="I53" i="1"/>
  <c r="K53" i="1" s="1"/>
  <c r="M53" i="1" s="1"/>
  <c r="I54" i="1"/>
  <c r="J54" i="1" s="1"/>
  <c r="I55" i="1"/>
  <c r="J55" i="1" s="1"/>
  <c r="I50" i="1"/>
  <c r="J50" i="1" s="1"/>
  <c r="I51" i="1"/>
  <c r="J51" i="1" s="1"/>
  <c r="H49" i="1"/>
  <c r="H50" i="1" s="1"/>
  <c r="H51" i="1" s="1"/>
  <c r="H52" i="1" s="1"/>
  <c r="H53" i="1" s="1"/>
  <c r="H54" i="1" s="1"/>
  <c r="H55" i="1" s="1"/>
  <c r="I49" i="1"/>
  <c r="J49" i="1" s="1"/>
  <c r="N49" i="1"/>
  <c r="D49" i="1"/>
  <c r="J53" i="1" l="1"/>
  <c r="K51" i="1"/>
  <c r="K52" i="1"/>
  <c r="K54" i="1"/>
  <c r="M54" i="1" s="1"/>
  <c r="K55" i="1"/>
  <c r="M55" i="1" s="1"/>
  <c r="K50" i="1"/>
  <c r="K49" i="1"/>
  <c r="M50" i="1"/>
  <c r="N3" i="1"/>
  <c r="I47" i="1"/>
  <c r="J47" i="1" s="1"/>
  <c r="I48" i="1"/>
  <c r="J48" i="1" s="1"/>
  <c r="H45" i="1"/>
  <c r="H46" i="1" s="1"/>
  <c r="H47" i="1" s="1"/>
  <c r="H48" i="1" s="1"/>
  <c r="I45" i="1"/>
  <c r="J45" i="1" s="1"/>
  <c r="K45" i="1"/>
  <c r="L45" i="1"/>
  <c r="M45" i="1"/>
  <c r="I46" i="1"/>
  <c r="J46" i="1" s="1"/>
  <c r="H41" i="1"/>
  <c r="H42" i="1" s="1"/>
  <c r="H43" i="1" s="1"/>
  <c r="H44" i="1" s="1"/>
  <c r="I41" i="1"/>
  <c r="J41" i="1" s="1"/>
  <c r="K41" i="1"/>
  <c r="L41" i="1" s="1"/>
  <c r="L42" i="1" s="1"/>
  <c r="I42" i="1"/>
  <c r="J42" i="1" s="1"/>
  <c r="K42" i="1"/>
  <c r="M42" i="1" s="1"/>
  <c r="I43" i="1"/>
  <c r="J43" i="1" s="1"/>
  <c r="I44" i="1"/>
  <c r="J44" i="1" s="1"/>
  <c r="M51" i="1" l="1"/>
  <c r="D52" i="1"/>
  <c r="M52" i="1"/>
  <c r="L49" i="1"/>
  <c r="L50" i="1" s="1"/>
  <c r="L51" i="1" s="1"/>
  <c r="L52" i="1" s="1"/>
  <c r="L53" i="1" s="1"/>
  <c r="L54" i="1" s="1"/>
  <c r="L55" i="1" s="1"/>
  <c r="D50" i="1"/>
  <c r="M49" i="1"/>
  <c r="K48" i="1"/>
  <c r="M48" i="1" s="1"/>
  <c r="K47" i="1"/>
  <c r="K46" i="1"/>
  <c r="L46" i="1" s="1"/>
  <c r="K44" i="1"/>
  <c r="M44" i="1" s="1"/>
  <c r="K43" i="1"/>
  <c r="M43" i="1" s="1"/>
  <c r="M41" i="1"/>
  <c r="H38" i="1"/>
  <c r="H39" i="1" s="1"/>
  <c r="H40" i="1" s="1"/>
  <c r="I38" i="1"/>
  <c r="J38" i="1" s="1"/>
  <c r="I39" i="1"/>
  <c r="J39" i="1" s="1"/>
  <c r="I40" i="1"/>
  <c r="J40" i="1" s="1"/>
  <c r="I37" i="1"/>
  <c r="K37" i="1" s="1"/>
  <c r="H35" i="1"/>
  <c r="H36" i="1" s="1"/>
  <c r="H37" i="1" s="1"/>
  <c r="I35" i="1"/>
  <c r="J35" i="1" s="1"/>
  <c r="I36" i="1"/>
  <c r="J36" i="1" s="1"/>
  <c r="D4" i="1"/>
  <c r="I32" i="1"/>
  <c r="J32" i="1" s="1"/>
  <c r="I33" i="1"/>
  <c r="J33" i="1"/>
  <c r="K33" i="1"/>
  <c r="M33" i="1"/>
  <c r="I34" i="1"/>
  <c r="J34" i="1" s="1"/>
  <c r="N52" i="1" l="1"/>
  <c r="D53" i="1"/>
  <c r="D51" i="1"/>
  <c r="N51" i="1" s="1"/>
  <c r="N50" i="1"/>
  <c r="M46" i="1"/>
  <c r="L47" i="1"/>
  <c r="L48" i="1" s="1"/>
  <c r="M47" i="1"/>
  <c r="L43" i="1"/>
  <c r="L44" i="1" s="1"/>
  <c r="K38" i="1"/>
  <c r="L38" i="1" s="1"/>
  <c r="K40" i="1"/>
  <c r="M40" i="1" s="1"/>
  <c r="K39" i="1"/>
  <c r="M39" i="1" s="1"/>
  <c r="M37" i="1"/>
  <c r="J37" i="1"/>
  <c r="K36" i="1"/>
  <c r="K35" i="1"/>
  <c r="K32" i="1"/>
  <c r="K34" i="1"/>
  <c r="D54" i="1" l="1"/>
  <c r="N53" i="1"/>
  <c r="M38" i="1"/>
  <c r="L39" i="1"/>
  <c r="L40" i="1" s="1"/>
  <c r="M36" i="1"/>
  <c r="L35" i="1"/>
  <c r="L36" i="1" s="1"/>
  <c r="L37" i="1" s="1"/>
  <c r="M35" i="1"/>
  <c r="M34" i="1"/>
  <c r="M32" i="1"/>
  <c r="D55" i="1" l="1"/>
  <c r="N55" i="1" s="1"/>
  <c r="N54" i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N4" i="1"/>
  <c r="K31" i="1" l="1"/>
  <c r="K29" i="1"/>
  <c r="M29" i="1" s="1"/>
  <c r="K26" i="1"/>
  <c r="M26" i="1" s="1"/>
  <c r="L24" i="1"/>
  <c r="K28" i="1"/>
  <c r="M28" i="1" s="1"/>
  <c r="K30" i="1"/>
  <c r="M30" i="1" s="1"/>
  <c r="K25" i="1"/>
  <c r="K27" i="1"/>
  <c r="M27" i="1" s="1"/>
  <c r="I3" i="1"/>
  <c r="K3" i="1" s="1"/>
  <c r="H3" i="1"/>
  <c r="H4" i="1" s="1"/>
  <c r="M31" i="1" l="1"/>
  <c r="L25" i="1"/>
  <c r="L26" i="1" s="1"/>
  <c r="L27" i="1" s="1"/>
  <c r="L28" i="1" s="1"/>
  <c r="L29" i="1" s="1"/>
  <c r="L30" i="1" s="1"/>
  <c r="L31" i="1" s="1"/>
  <c r="L32" i="1" s="1"/>
  <c r="L33" i="1" s="1"/>
  <c r="L34" i="1" s="1"/>
  <c r="M25" i="1"/>
  <c r="D5" i="1"/>
  <c r="M3" i="1"/>
  <c r="L3" i="1"/>
  <c r="L4" i="1" s="1"/>
  <c r="J3" i="1"/>
  <c r="D6" i="1" l="1"/>
  <c r="N5" i="1"/>
  <c r="D7" i="1" l="1"/>
  <c r="N6" i="1"/>
  <c r="D8" i="1" l="1"/>
  <c r="N7" i="1"/>
  <c r="N8" i="1" l="1"/>
  <c r="D9" i="1"/>
  <c r="N9" i="1" l="1"/>
  <c r="D10" i="1"/>
  <c r="N10" i="1" l="1"/>
  <c r="D11" i="1"/>
  <c r="N11" i="1" l="1"/>
  <c r="D12" i="1"/>
  <c r="N12" i="1" l="1"/>
  <c r="D13" i="1"/>
  <c r="N13" i="1" l="1"/>
  <c r="D14" i="1"/>
  <c r="N14" i="1" l="1"/>
  <c r="D15" i="1"/>
  <c r="N15" i="1" l="1"/>
  <c r="D16" i="1"/>
  <c r="N16" i="1" l="1"/>
  <c r="D17" i="1"/>
  <c r="N17" i="1" l="1"/>
  <c r="D18" i="1"/>
  <c r="N18" i="1" l="1"/>
  <c r="D19" i="1"/>
  <c r="N19" i="1" l="1"/>
  <c r="D20" i="1"/>
  <c r="N20" i="1" l="1"/>
  <c r="D21" i="1"/>
  <c r="N21" i="1" l="1"/>
  <c r="D22" i="1"/>
  <c r="N22" i="1" l="1"/>
  <c r="D23" i="1"/>
  <c r="N23" i="1" l="1"/>
  <c r="D24" i="1"/>
  <c r="N24" i="1" l="1"/>
  <c r="D25" i="1"/>
  <c r="N25" i="1" l="1"/>
  <c r="D26" i="1"/>
  <c r="D27" i="1" l="1"/>
  <c r="N26" i="1"/>
  <c r="D28" i="1" l="1"/>
  <c r="N27" i="1"/>
  <c r="N28" i="1" l="1"/>
  <c r="D29" i="1"/>
  <c r="N29" i="1" l="1"/>
  <c r="D30" i="1"/>
  <c r="D31" i="1" l="1"/>
  <c r="N30" i="1"/>
  <c r="N31" i="1" l="1"/>
  <c r="D32" i="1"/>
  <c r="D33" i="1" l="1"/>
  <c r="N32" i="1"/>
  <c r="D34" i="1" l="1"/>
  <c r="N33" i="1"/>
  <c r="N34" i="1" l="1"/>
  <c r="D35" i="1"/>
  <c r="N35" i="1" l="1"/>
  <c r="D36" i="1"/>
  <c r="N36" i="1" l="1"/>
  <c r="D37" i="1"/>
  <c r="N37" i="1" l="1"/>
  <c r="D38" i="1"/>
  <c r="N38" i="1" l="1"/>
  <c r="D39" i="1"/>
  <c r="N39" i="1" l="1"/>
  <c r="D40" i="1"/>
  <c r="N40" i="1" l="1"/>
  <c r="D41" i="1"/>
  <c r="N41" i="1" l="1"/>
  <c r="D42" i="1"/>
  <c r="N42" i="1" l="1"/>
  <c r="D43" i="1"/>
  <c r="D44" i="1" l="1"/>
  <c r="N43" i="1"/>
  <c r="N44" i="1" l="1"/>
  <c r="D45" i="1"/>
  <c r="N45" i="1" l="1"/>
  <c r="D46" i="1"/>
  <c r="N46" i="1" l="1"/>
  <c r="D47" i="1"/>
  <c r="N47" i="1" l="1"/>
  <c r="D48" i="1"/>
  <c r="N48" i="1" s="1"/>
</calcChain>
</file>

<file path=xl/sharedStrings.xml><?xml version="1.0" encoding="utf-8"?>
<sst xmlns="http://schemas.openxmlformats.org/spreadsheetml/2006/main" count="120" uniqueCount="17">
  <si>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</si>
  <si>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</si>
  <si>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</si>
  <si>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</si>
  <si>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</si>
  <si>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</si>
  <si>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</si>
  <si>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</si>
  <si>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10 %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</si>
  <si>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</si>
  <si>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</si>
  <si>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</si>
  <si>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</si>
  <si>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</si>
  <si>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INV10</t>
  </si>
  <si>
    <t>Yoryina Dávila</t>
  </si>
  <si>
    <t>INV11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</si>
</sst>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#,##0.00_ ;[Red]\-#,##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C1A3-FF3F-44C6-A5D8-852807A834FA}">
  <dimension ref="A1:N55"/>
  <sheetViews>
    <sheetView tabSelected="1" topLeftCell="A40" workbookViewId="0">
      <selection activeCell="H61" sqref="H61"/>
    </sheetView>
  </sheetViews>
  <sheetFormatPr baseColWidth="10" defaultRowHeight="14.4" x14ac:dyDescent="0.3"/>
  <cols>
    <col min="3" max="3" width="12.5546875" bestFit="1" customWidth="1"/>
    <col min="7" max="7" width="11.5546875" style="2"/>
  </cols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/>
      <c r="B2" s="2"/>
      <c r="C2" s="2"/>
      <c r="D2" s="2"/>
      <c r="E2" s="2"/>
      <c r="F2" s="2"/>
      <c r="H2" s="2"/>
      <c r="I2" s="2"/>
      <c r="J2" s="2"/>
      <c r="K2" s="2"/>
      <c r="L2" s="2"/>
      <c r="M2" s="2"/>
    </row>
    <row r="3" spans="1:14" x14ac:dyDescent="0.3">
      <c r="A3" s="3">
        <v>44409</v>
      </c>
      <c r="B3" s="2" t="s">
        <v>14</v>
      </c>
      <c r="C3" s="2" t="s">
        <v>15</v>
      </c>
      <c r="D3" s="4">
        <v>0</v>
      </c>
      <c r="E3" s="4">
        <v>2534</v>
      </c>
      <c r="F3" s="4"/>
      <c r="G3" s="4">
        <v>15.81</v>
      </c>
      <c r="H3" s="5">
        <f>+G3</f>
        <v>15.81</v>
      </c>
      <c r="I3" s="5">
        <f>+G3*0.1</f>
        <v>1.5810000000000002</v>
      </c>
      <c r="J3" s="5">
        <f>+I3</f>
        <v>1.5810000000000002</v>
      </c>
      <c r="K3" s="5">
        <f>+G3-I3</f>
        <v>14.229000000000001</v>
      </c>
      <c r="L3" s="5">
        <f>+K3</f>
        <v>14.229000000000001</v>
      </c>
      <c r="M3" s="5">
        <f>+K3/30</f>
        <v>0.47430000000000005</v>
      </c>
      <c r="N3" s="6">
        <f>+G3/E3</f>
        <v>6.2391475927387535E-3</v>
      </c>
    </row>
    <row r="4" spans="1:14" x14ac:dyDescent="0.3">
      <c r="A4" s="3">
        <v>44440</v>
      </c>
      <c r="B4" s="2" t="s">
        <v>14</v>
      </c>
      <c r="C4" s="2" t="s">
        <v>15</v>
      </c>
      <c r="D4" s="4">
        <f>+D3+K3+E3-F3-D3</f>
        <v>2548.2289999999998</v>
      </c>
      <c r="E4" s="4"/>
      <c r="F4" s="4"/>
      <c r="G4" s="4">
        <v>88.16</v>
      </c>
      <c r="H4" s="5">
        <f>+H3+G4</f>
        <v>103.97</v>
      </c>
      <c r="I4" s="5">
        <f t="shared" ref="I4:I24" si="0">+G4*0.1</f>
        <v>8.8160000000000007</v>
      </c>
      <c r="J4" s="5">
        <f t="shared" ref="J4:J24" si="1">+I4</f>
        <v>8.8160000000000007</v>
      </c>
      <c r="K4" s="5">
        <f t="shared" ref="K4:K24" si="2">+G4-I4</f>
        <v>79.343999999999994</v>
      </c>
      <c r="L4" s="5">
        <f>+L3+K4</f>
        <v>93.572999999999993</v>
      </c>
      <c r="M4" s="5">
        <f t="shared" ref="M4:M24" si="3">+K4/30</f>
        <v>2.6447999999999996</v>
      </c>
      <c r="N4" s="6">
        <f t="shared" ref="N4:N23" si="4">+G4/D4</f>
        <v>3.4596576681295128E-2</v>
      </c>
    </row>
    <row r="5" spans="1:14" x14ac:dyDescent="0.3">
      <c r="A5" s="3">
        <v>44470</v>
      </c>
      <c r="B5" s="2" t="s">
        <v>14</v>
      </c>
      <c r="C5" s="2" t="s">
        <v>15</v>
      </c>
      <c r="D5" s="4">
        <f t="shared" ref="D5:D24" si="5">+D4+K4+E4-F4</f>
        <v>2627.5729999999999</v>
      </c>
      <c r="E5" s="4">
        <v>2466</v>
      </c>
      <c r="F5" s="4"/>
      <c r="G5" s="4">
        <v>410.66</v>
      </c>
      <c r="H5" s="5">
        <f t="shared" ref="H5:H24" si="6">+H4+G5</f>
        <v>514.63</v>
      </c>
      <c r="I5" s="5">
        <f t="shared" si="0"/>
        <v>41.066000000000003</v>
      </c>
      <c r="J5" s="5">
        <f t="shared" si="1"/>
        <v>41.066000000000003</v>
      </c>
      <c r="K5" s="5">
        <f t="shared" si="2"/>
        <v>369.59400000000005</v>
      </c>
      <c r="L5" s="5">
        <f t="shared" ref="L5:L24" si="7">+L4+K5</f>
        <v>463.16700000000003</v>
      </c>
      <c r="M5" s="5">
        <f t="shared" si="3"/>
        <v>12.319800000000003</v>
      </c>
      <c r="N5" s="6">
        <f t="shared" si="4"/>
        <v>0.15628871205481257</v>
      </c>
    </row>
    <row r="6" spans="1:14" x14ac:dyDescent="0.3">
      <c r="A6" s="3">
        <v>44501</v>
      </c>
      <c r="B6" s="2" t="s">
        <v>14</v>
      </c>
      <c r="C6" s="2" t="s">
        <v>15</v>
      </c>
      <c r="D6" s="4">
        <f t="shared" si="5"/>
        <v>5463.1669999999995</v>
      </c>
      <c r="E6" s="4"/>
      <c r="F6" s="4"/>
      <c r="G6" s="4">
        <v>212.7</v>
      </c>
      <c r="H6" s="5">
        <f t="shared" si="6"/>
        <v>727.32999999999993</v>
      </c>
      <c r="I6" s="5">
        <f t="shared" si="0"/>
        <v>21.27</v>
      </c>
      <c r="J6" s="5">
        <f t="shared" si="1"/>
        <v>21.27</v>
      </c>
      <c r="K6" s="5">
        <f t="shared" si="2"/>
        <v>191.42999999999998</v>
      </c>
      <c r="L6" s="5">
        <f t="shared" si="7"/>
        <v>654.59699999999998</v>
      </c>
      <c r="M6" s="5">
        <f t="shared" si="3"/>
        <v>6.3809999999999993</v>
      </c>
      <c r="N6" s="6">
        <f t="shared" si="4"/>
        <v>3.8933461122458823E-2</v>
      </c>
    </row>
    <row r="7" spans="1:14" x14ac:dyDescent="0.3">
      <c r="A7" s="3">
        <v>44532</v>
      </c>
      <c r="B7" s="2" t="s">
        <v>16</v>
      </c>
      <c r="C7" s="2" t="s">
        <v>15</v>
      </c>
      <c r="D7" s="4">
        <f t="shared" si="5"/>
        <v>5654.5969999999998</v>
      </c>
      <c r="E7" s="4"/>
      <c r="F7" s="4"/>
      <c r="G7" s="4">
        <v>242.6</v>
      </c>
      <c r="H7" s="5">
        <f t="shared" si="6"/>
        <v>969.93</v>
      </c>
      <c r="I7" s="5">
        <f t="shared" si="0"/>
        <v>24.26</v>
      </c>
      <c r="J7" s="5">
        <f t="shared" si="1"/>
        <v>24.26</v>
      </c>
      <c r="K7" s="5">
        <f t="shared" si="2"/>
        <v>218.34</v>
      </c>
      <c r="L7" s="5">
        <f t="shared" si="7"/>
        <v>872.93700000000001</v>
      </c>
      <c r="M7" s="5">
        <f t="shared" si="3"/>
        <v>7.2780000000000005</v>
      </c>
      <c r="N7" s="6">
        <f t="shared" si="4"/>
        <v>4.2903145882898466E-2</v>
      </c>
    </row>
    <row r="8" spans="1:14" x14ac:dyDescent="0.3">
      <c r="A8" s="3">
        <v>44562</v>
      </c>
      <c r="B8" s="2" t="s">
        <v>14</v>
      </c>
      <c r="C8" s="2" t="s">
        <v>15</v>
      </c>
      <c r="D8" s="4">
        <f t="shared" si="5"/>
        <v>5872.9369999999999</v>
      </c>
      <c r="E8" s="4"/>
      <c r="F8" s="4"/>
      <c r="G8" s="4">
        <v>128.16999999999999</v>
      </c>
      <c r="H8" s="5">
        <f t="shared" si="6"/>
        <v>1098.0999999999999</v>
      </c>
      <c r="I8" s="5">
        <f t="shared" si="0"/>
        <v>12.817</v>
      </c>
      <c r="J8" s="5">
        <f t="shared" si="1"/>
        <v>12.817</v>
      </c>
      <c r="K8" s="5">
        <f t="shared" si="2"/>
        <v>115.35299999999998</v>
      </c>
      <c r="L8" s="5">
        <f t="shared" si="7"/>
        <v>988.29</v>
      </c>
      <c r="M8" s="5">
        <f t="shared" si="3"/>
        <v>3.8450999999999995</v>
      </c>
      <c r="N8" s="6">
        <f t="shared" si="4"/>
        <v>2.1823833628727838E-2</v>
      </c>
    </row>
    <row r="9" spans="1:14" x14ac:dyDescent="0.3">
      <c r="A9" s="3">
        <v>44593</v>
      </c>
      <c r="B9" s="2" t="s">
        <v>14</v>
      </c>
      <c r="C9" s="2" t="s">
        <v>15</v>
      </c>
      <c r="D9" s="4">
        <f t="shared" si="5"/>
        <v>5988.29</v>
      </c>
      <c r="E9" s="4"/>
      <c r="F9" s="4"/>
      <c r="G9" s="4">
        <v>-146.22</v>
      </c>
      <c r="H9" s="5">
        <f t="shared" si="6"/>
        <v>951.87999999999988</v>
      </c>
      <c r="I9" s="5">
        <f t="shared" si="0"/>
        <v>-14.622</v>
      </c>
      <c r="J9" s="5">
        <f t="shared" si="1"/>
        <v>-14.622</v>
      </c>
      <c r="K9" s="5">
        <f t="shared" si="2"/>
        <v>-131.59800000000001</v>
      </c>
      <c r="L9" s="5">
        <f t="shared" si="7"/>
        <v>856.69200000000001</v>
      </c>
      <c r="M9" s="5">
        <f t="shared" si="3"/>
        <v>-4.3866000000000005</v>
      </c>
      <c r="N9" s="6">
        <f t="shared" si="4"/>
        <v>-2.4417655123582859E-2</v>
      </c>
    </row>
    <row r="10" spans="1:14" x14ac:dyDescent="0.3">
      <c r="A10" s="3">
        <v>44621</v>
      </c>
      <c r="B10" s="2" t="s">
        <v>14</v>
      </c>
      <c r="C10" s="2" t="s">
        <v>15</v>
      </c>
      <c r="D10" s="4">
        <f t="shared" si="5"/>
        <v>5856.692</v>
      </c>
      <c r="E10" s="4"/>
      <c r="F10" s="4"/>
      <c r="G10" s="4">
        <v>636.71</v>
      </c>
      <c r="H10" s="5">
        <f t="shared" si="6"/>
        <v>1588.59</v>
      </c>
      <c r="I10" s="5">
        <f t="shared" si="0"/>
        <v>63.671000000000006</v>
      </c>
      <c r="J10" s="5">
        <f t="shared" si="1"/>
        <v>63.671000000000006</v>
      </c>
      <c r="K10" s="5">
        <f t="shared" si="2"/>
        <v>573.03899999999999</v>
      </c>
      <c r="L10" s="5">
        <f t="shared" si="7"/>
        <v>1429.731</v>
      </c>
      <c r="M10" s="5">
        <f t="shared" si="3"/>
        <v>19.101299999999998</v>
      </c>
      <c r="N10" s="6">
        <f t="shared" si="4"/>
        <v>0.10871495376570939</v>
      </c>
    </row>
    <row r="11" spans="1:14" x14ac:dyDescent="0.3">
      <c r="A11" s="3">
        <v>44652</v>
      </c>
      <c r="B11" s="2" t="s">
        <v>14</v>
      </c>
      <c r="C11" s="2" t="s">
        <v>15</v>
      </c>
      <c r="D11" s="4">
        <f t="shared" si="5"/>
        <v>6429.7309999999998</v>
      </c>
      <c r="E11" s="4"/>
      <c r="F11" s="4"/>
      <c r="G11" s="4">
        <v>-27.53</v>
      </c>
      <c r="H11" s="5">
        <f t="shared" si="6"/>
        <v>1561.06</v>
      </c>
      <c r="I11" s="5">
        <f t="shared" si="0"/>
        <v>-2.7530000000000001</v>
      </c>
      <c r="J11" s="5">
        <f t="shared" si="1"/>
        <v>-2.7530000000000001</v>
      </c>
      <c r="K11" s="5">
        <f t="shared" si="2"/>
        <v>-24.777000000000001</v>
      </c>
      <c r="L11" s="5">
        <f t="shared" si="7"/>
        <v>1404.954</v>
      </c>
      <c r="M11" s="5">
        <f t="shared" si="3"/>
        <v>-0.82590000000000008</v>
      </c>
      <c r="N11" s="6">
        <f t="shared" si="4"/>
        <v>-4.2816721259411944E-3</v>
      </c>
    </row>
    <row r="12" spans="1:14" x14ac:dyDescent="0.3">
      <c r="A12" s="3">
        <v>44682</v>
      </c>
      <c r="B12" s="2" t="s">
        <v>14</v>
      </c>
      <c r="C12" s="2" t="s">
        <v>15</v>
      </c>
      <c r="D12" s="4">
        <f t="shared" si="5"/>
        <v>6404.9539999999997</v>
      </c>
      <c r="E12" s="4"/>
      <c r="F12" s="4"/>
      <c r="G12" s="4">
        <v>227.63</v>
      </c>
      <c r="H12" s="5">
        <f t="shared" si="6"/>
        <v>1788.69</v>
      </c>
      <c r="I12" s="5">
        <f t="shared" si="0"/>
        <v>22.763000000000002</v>
      </c>
      <c r="J12" s="5">
        <f t="shared" si="1"/>
        <v>22.763000000000002</v>
      </c>
      <c r="K12" s="5">
        <f t="shared" si="2"/>
        <v>204.86699999999999</v>
      </c>
      <c r="L12" s="5">
        <f t="shared" si="7"/>
        <v>1609.8209999999999</v>
      </c>
      <c r="M12" s="5">
        <f t="shared" si="3"/>
        <v>6.8289</v>
      </c>
      <c r="N12" s="6">
        <f t="shared" si="4"/>
        <v>3.5539677568332262E-2</v>
      </c>
    </row>
    <row r="13" spans="1:14" x14ac:dyDescent="0.3">
      <c r="A13" s="3">
        <v>44713</v>
      </c>
      <c r="B13" s="2" t="s">
        <v>14</v>
      </c>
      <c r="C13" s="2" t="s">
        <v>15</v>
      </c>
      <c r="D13" s="4">
        <f t="shared" si="5"/>
        <v>6609.8209999999999</v>
      </c>
      <c r="E13" s="2"/>
      <c r="F13" s="2"/>
      <c r="G13" s="2">
        <v>341.04</v>
      </c>
      <c r="H13" s="5">
        <f t="shared" si="6"/>
        <v>2129.73</v>
      </c>
      <c r="I13" s="5">
        <f t="shared" si="0"/>
        <v>34.104000000000006</v>
      </c>
      <c r="J13" s="5">
        <f t="shared" si="1"/>
        <v>34.104000000000006</v>
      </c>
      <c r="K13" s="5">
        <f t="shared" si="2"/>
        <v>306.93600000000004</v>
      </c>
      <c r="L13" s="5">
        <f t="shared" si="7"/>
        <v>1916.7570000000001</v>
      </c>
      <c r="M13" s="5">
        <f t="shared" si="3"/>
        <v>10.231200000000001</v>
      </c>
      <c r="N13" s="6">
        <f t="shared" si="4"/>
        <v>5.1595950934223485E-2</v>
      </c>
    </row>
    <row r="14" spans="1:14" x14ac:dyDescent="0.3">
      <c r="A14" s="3">
        <v>44743</v>
      </c>
      <c r="B14" s="2" t="s">
        <v>14</v>
      </c>
      <c r="C14" s="2" t="s">
        <v>15</v>
      </c>
      <c r="D14" s="4">
        <f t="shared" si="5"/>
        <v>6916.7569999999996</v>
      </c>
      <c r="E14" s="2"/>
      <c r="F14" s="2"/>
      <c r="G14" s="2">
        <v>126.13</v>
      </c>
      <c r="H14" s="5">
        <f t="shared" si="6"/>
        <v>2255.86</v>
      </c>
      <c r="I14" s="5">
        <f t="shared" si="0"/>
        <v>12.613</v>
      </c>
      <c r="J14" s="5">
        <f t="shared" si="1"/>
        <v>12.613</v>
      </c>
      <c r="K14" s="5">
        <f t="shared" si="2"/>
        <v>113.517</v>
      </c>
      <c r="L14" s="5">
        <f t="shared" si="7"/>
        <v>2030.2740000000001</v>
      </c>
      <c r="M14" s="5">
        <f t="shared" si="3"/>
        <v>3.7839</v>
      </c>
      <c r="N14" s="6">
        <f t="shared" si="4"/>
        <v>1.8235424491564473E-2</v>
      </c>
    </row>
    <row r="15" spans="1:14" x14ac:dyDescent="0.3">
      <c r="A15" s="3">
        <v>44775</v>
      </c>
      <c r="B15" s="2" t="s">
        <v>14</v>
      </c>
      <c r="C15" s="2" t="s">
        <v>15</v>
      </c>
      <c r="D15" s="4">
        <f t="shared" si="5"/>
        <v>7030.2739999999994</v>
      </c>
      <c r="E15" s="2"/>
      <c r="F15" s="2"/>
      <c r="G15" s="2">
        <v>116.72</v>
      </c>
      <c r="H15" s="5">
        <f t="shared" si="6"/>
        <v>2372.58</v>
      </c>
      <c r="I15" s="5">
        <f t="shared" si="0"/>
        <v>11.672000000000001</v>
      </c>
      <c r="J15" s="5">
        <f t="shared" si="1"/>
        <v>11.672000000000001</v>
      </c>
      <c r="K15" s="5">
        <f t="shared" si="2"/>
        <v>105.048</v>
      </c>
      <c r="L15" s="5">
        <f t="shared" si="7"/>
        <v>2135.3220000000001</v>
      </c>
      <c r="M15" s="5">
        <f t="shared" si="3"/>
        <v>3.5016000000000003</v>
      </c>
      <c r="N15" s="6">
        <f t="shared" si="4"/>
        <v>1.6602482349905568E-2</v>
      </c>
    </row>
    <row r="16" spans="1:14" x14ac:dyDescent="0.3">
      <c r="A16" s="3">
        <v>44807</v>
      </c>
      <c r="B16" s="2" t="s">
        <v>14</v>
      </c>
      <c r="C16" s="2" t="s">
        <v>15</v>
      </c>
      <c r="D16" s="4">
        <f t="shared" si="5"/>
        <v>7135.3219999999992</v>
      </c>
      <c r="G16" s="2">
        <v>225.08</v>
      </c>
      <c r="H16" s="5">
        <f t="shared" si="6"/>
        <v>2597.66</v>
      </c>
      <c r="I16" s="5">
        <f t="shared" si="0"/>
        <v>22.508000000000003</v>
      </c>
      <c r="J16" s="5">
        <f t="shared" si="1"/>
        <v>22.508000000000003</v>
      </c>
      <c r="K16" s="5">
        <f t="shared" si="2"/>
        <v>202.572</v>
      </c>
      <c r="L16" s="5">
        <f t="shared" si="7"/>
        <v>2337.8940000000002</v>
      </c>
      <c r="M16" s="5">
        <f t="shared" si="3"/>
        <v>6.7523999999999997</v>
      </c>
      <c r="N16" s="6">
        <f t="shared" si="4"/>
        <v>3.1544476899570899E-2</v>
      </c>
    </row>
    <row r="17" spans="1:14" x14ac:dyDescent="0.3">
      <c r="A17" s="3">
        <v>44839</v>
      </c>
      <c r="B17" s="2" t="s">
        <v>14</v>
      </c>
      <c r="C17" s="2" t="s">
        <v>15</v>
      </c>
      <c r="D17" s="4">
        <f t="shared" si="5"/>
        <v>7337.8939999999993</v>
      </c>
      <c r="G17" s="2">
        <v>0</v>
      </c>
      <c r="H17" s="5">
        <f t="shared" si="6"/>
        <v>2597.66</v>
      </c>
      <c r="I17" s="5">
        <f t="shared" si="0"/>
        <v>0</v>
      </c>
      <c r="J17" s="5">
        <f t="shared" si="1"/>
        <v>0</v>
      </c>
      <c r="K17" s="5">
        <f t="shared" si="2"/>
        <v>0</v>
      </c>
      <c r="L17" s="5">
        <f t="shared" si="7"/>
        <v>2337.8940000000002</v>
      </c>
      <c r="M17" s="5">
        <f t="shared" si="3"/>
        <v>0</v>
      </c>
      <c r="N17" s="6">
        <f t="shared" si="4"/>
        <v>0</v>
      </c>
    </row>
    <row r="18" spans="1:14" x14ac:dyDescent="0.3">
      <c r="A18" s="3">
        <v>44871</v>
      </c>
      <c r="B18" s="2" t="s">
        <v>14</v>
      </c>
      <c r="C18" s="2" t="s">
        <v>15</v>
      </c>
      <c r="D18" s="4">
        <f t="shared" si="5"/>
        <v>7337.8939999999993</v>
      </c>
      <c r="G18" s="2">
        <v>221.94</v>
      </c>
      <c r="H18" s="5">
        <f t="shared" si="6"/>
        <v>2819.6</v>
      </c>
      <c r="I18" s="5">
        <f t="shared" si="0"/>
        <v>22.194000000000003</v>
      </c>
      <c r="J18" s="5">
        <f t="shared" si="1"/>
        <v>22.194000000000003</v>
      </c>
      <c r="K18" s="5">
        <f t="shared" si="2"/>
        <v>199.74599999999998</v>
      </c>
      <c r="L18" s="5">
        <f t="shared" si="7"/>
        <v>2537.6400000000003</v>
      </c>
      <c r="M18" s="5">
        <f t="shared" si="3"/>
        <v>6.658199999999999</v>
      </c>
      <c r="N18" s="6">
        <f t="shared" si="4"/>
        <v>3.0245735356765852E-2</v>
      </c>
    </row>
    <row r="19" spans="1:14" x14ac:dyDescent="0.3">
      <c r="A19" s="3">
        <v>44903</v>
      </c>
      <c r="B19" s="2" t="s">
        <v>14</v>
      </c>
      <c r="C19" s="2" t="s">
        <v>15</v>
      </c>
      <c r="D19" s="4">
        <f t="shared" si="5"/>
        <v>7537.6399999999994</v>
      </c>
      <c r="G19" s="2">
        <v>162.62</v>
      </c>
      <c r="H19" s="5">
        <f t="shared" si="6"/>
        <v>2982.22</v>
      </c>
      <c r="I19" s="5">
        <f t="shared" si="0"/>
        <v>16.262</v>
      </c>
      <c r="J19" s="5">
        <f t="shared" si="1"/>
        <v>16.262</v>
      </c>
      <c r="K19" s="5">
        <f t="shared" si="2"/>
        <v>146.358</v>
      </c>
      <c r="L19" s="5">
        <f t="shared" si="7"/>
        <v>2683.9980000000005</v>
      </c>
      <c r="M19" s="5">
        <f t="shared" si="3"/>
        <v>4.8786000000000005</v>
      </c>
      <c r="N19" s="6">
        <f t="shared" si="4"/>
        <v>2.1574391984759158E-2</v>
      </c>
    </row>
    <row r="20" spans="1:14" x14ac:dyDescent="0.3">
      <c r="A20" s="3">
        <v>44935</v>
      </c>
      <c r="B20" s="2" t="s">
        <v>14</v>
      </c>
      <c r="C20" s="2" t="s">
        <v>15</v>
      </c>
      <c r="D20" s="4">
        <f t="shared" si="5"/>
        <v>7683.9979999999996</v>
      </c>
      <c r="G20" s="2">
        <v>128.35</v>
      </c>
      <c r="H20" s="5">
        <f t="shared" si="6"/>
        <v>3110.5699999999997</v>
      </c>
      <c r="I20" s="5">
        <f t="shared" si="0"/>
        <v>12.835000000000001</v>
      </c>
      <c r="J20" s="5">
        <f t="shared" si="1"/>
        <v>12.835000000000001</v>
      </c>
      <c r="K20" s="5">
        <f t="shared" si="2"/>
        <v>115.51499999999999</v>
      </c>
      <c r="L20" s="5">
        <f t="shared" si="7"/>
        <v>2799.5130000000004</v>
      </c>
      <c r="M20" s="5">
        <f t="shared" si="3"/>
        <v>3.8504999999999994</v>
      </c>
      <c r="N20" s="6">
        <f t="shared" si="4"/>
        <v>1.6703544170625761E-2</v>
      </c>
    </row>
    <row r="21" spans="1:14" x14ac:dyDescent="0.3">
      <c r="A21" s="3">
        <v>44967</v>
      </c>
      <c r="B21" s="2" t="s">
        <v>14</v>
      </c>
      <c r="C21" s="2" t="s">
        <v>15</v>
      </c>
      <c r="D21" s="4">
        <f t="shared" si="5"/>
        <v>7799.5129999999999</v>
      </c>
      <c r="G21" s="2">
        <v>130.58000000000001</v>
      </c>
      <c r="H21" s="5">
        <f t="shared" si="6"/>
        <v>3241.1499999999996</v>
      </c>
      <c r="I21" s="5">
        <f t="shared" si="0"/>
        <v>13.058000000000002</v>
      </c>
      <c r="J21" s="5">
        <f t="shared" si="1"/>
        <v>13.058000000000002</v>
      </c>
      <c r="K21" s="5">
        <f t="shared" si="2"/>
        <v>117.52200000000001</v>
      </c>
      <c r="L21" s="5">
        <f t="shared" si="7"/>
        <v>2917.0350000000003</v>
      </c>
      <c r="M21" s="5">
        <f t="shared" si="3"/>
        <v>3.9174000000000002</v>
      </c>
      <c r="N21" s="6">
        <f t="shared" si="4"/>
        <v>1.6742070947250168E-2</v>
      </c>
    </row>
    <row r="22" spans="1:14" x14ac:dyDescent="0.3">
      <c r="A22" s="3">
        <v>44999</v>
      </c>
      <c r="B22" s="2" t="s">
        <v>14</v>
      </c>
      <c r="C22" s="2" t="s">
        <v>15</v>
      </c>
      <c r="D22" s="4">
        <f t="shared" si="5"/>
        <v>7917.0349999999999</v>
      </c>
      <c r="G22" s="2">
        <v>79.349999999999994</v>
      </c>
      <c r="H22" s="5">
        <f t="shared" si="6"/>
        <v>3320.4999999999995</v>
      </c>
      <c r="I22" s="5">
        <f t="shared" si="0"/>
        <v>7.9349999999999996</v>
      </c>
      <c r="J22" s="5">
        <f t="shared" si="1"/>
        <v>7.9349999999999996</v>
      </c>
      <c r="K22" s="5">
        <f t="shared" si="2"/>
        <v>71.414999999999992</v>
      </c>
      <c r="L22" s="5">
        <f t="shared" si="7"/>
        <v>2988.4500000000003</v>
      </c>
      <c r="M22" s="5">
        <f t="shared" si="3"/>
        <v>2.3804999999999996</v>
      </c>
      <c r="N22" s="6">
        <f t="shared" si="4"/>
        <v>1.0022691575823525E-2</v>
      </c>
    </row>
    <row r="23" spans="1:14" x14ac:dyDescent="0.3">
      <c r="A23" s="3">
        <v>45031</v>
      </c>
      <c r="B23" s="2" t="s">
        <v>14</v>
      </c>
      <c r="C23" s="2" t="s">
        <v>15</v>
      </c>
      <c r="D23" s="4">
        <f t="shared" si="5"/>
        <v>7988.45</v>
      </c>
      <c r="G23" s="2">
        <v>135.91999999999999</v>
      </c>
      <c r="H23" s="5">
        <f t="shared" si="6"/>
        <v>3456.4199999999996</v>
      </c>
      <c r="I23" s="5">
        <f t="shared" si="0"/>
        <v>13.591999999999999</v>
      </c>
      <c r="J23" s="5">
        <f t="shared" si="1"/>
        <v>13.591999999999999</v>
      </c>
      <c r="K23" s="5">
        <f t="shared" si="2"/>
        <v>122.32799999999999</v>
      </c>
      <c r="L23" s="5">
        <f t="shared" si="7"/>
        <v>3110.7780000000002</v>
      </c>
      <c r="M23" s="5">
        <f t="shared" si="3"/>
        <v>4.0775999999999994</v>
      </c>
      <c r="N23" s="6">
        <f t="shared" si="4"/>
        <v>1.7014564777898089E-2</v>
      </c>
    </row>
    <row r="24" spans="1:14" x14ac:dyDescent="0.3">
      <c r="A24" s="3">
        <v>45063</v>
      </c>
      <c r="B24" s="2" t="s">
        <v>14</v>
      </c>
      <c r="C24" s="2" t="s">
        <v>15</v>
      </c>
      <c r="D24" s="4">
        <f t="shared" si="5"/>
        <v>8110.7780000000002</v>
      </c>
      <c r="G24" s="2">
        <v>127.31</v>
      </c>
      <c r="H24" s="5">
        <f t="shared" si="6"/>
        <v>3583.7299999999996</v>
      </c>
      <c r="I24" s="5">
        <f t="shared" si="0"/>
        <v>12.731000000000002</v>
      </c>
      <c r="J24" s="5">
        <f t="shared" si="1"/>
        <v>12.731000000000002</v>
      </c>
      <c r="K24" s="5">
        <f t="shared" si="2"/>
        <v>114.57900000000001</v>
      </c>
      <c r="L24" s="5">
        <f t="shared" si="7"/>
        <v>3225.3570000000004</v>
      </c>
      <c r="M24" s="5">
        <f t="shared" si="3"/>
        <v>3.8193000000000001</v>
      </c>
      <c r="N24" s="6">
        <f t="shared" ref="N24:N25" si="8">+G24/D24</f>
        <v>1.5696398052073426E-2</v>
      </c>
    </row>
    <row r="25" spans="1:14" x14ac:dyDescent="0.3">
      <c r="A25" s="3">
        <v>45095</v>
      </c>
      <c r="B25" s="2" t="s">
        <v>14</v>
      </c>
      <c r="C25" s="2" t="s">
        <v>15</v>
      </c>
      <c r="D25" s="4">
        <f t="shared" ref="D25:D34" si="9">+D24+K24+E24-F24</f>
        <v>8225.357</v>
      </c>
      <c r="G25" s="2">
        <v>135.36000000000001</v>
      </c>
      <c r="H25" s="5">
        <f t="shared" ref="H25:H31" si="10">+H24+G25</f>
        <v>3719.0899999999997</v>
      </c>
      <c r="I25" s="5">
        <f t="shared" ref="I25:I31" si="11">+G25*0.1</f>
        <v>13.536000000000001</v>
      </c>
      <c r="J25" s="5">
        <f t="shared" ref="J25:J31" si="12">+I25</f>
        <v>13.536000000000001</v>
      </c>
      <c r="K25" s="5">
        <f t="shared" ref="K25:K31" si="13">+G25-I25</f>
        <v>121.82400000000001</v>
      </c>
      <c r="L25" s="5">
        <f t="shared" ref="L25:L31" si="14">+L24+K25</f>
        <v>3347.1810000000005</v>
      </c>
      <c r="M25" s="5">
        <f t="shared" ref="M25:M31" si="15">+K25/30</f>
        <v>4.0608000000000004</v>
      </c>
      <c r="N25" s="6">
        <f t="shared" si="8"/>
        <v>1.6456428578115214E-2</v>
      </c>
    </row>
    <row r="26" spans="1:14" x14ac:dyDescent="0.3">
      <c r="A26" s="3">
        <v>45127</v>
      </c>
      <c r="B26" s="2" t="s">
        <v>14</v>
      </c>
      <c r="C26" s="2" t="s">
        <v>15</v>
      </c>
      <c r="D26" s="4">
        <f t="shared" si="9"/>
        <v>8347.1810000000005</v>
      </c>
      <c r="G26" s="2">
        <v>95</v>
      </c>
      <c r="H26" s="5">
        <f t="shared" si="10"/>
        <v>3814.0899999999997</v>
      </c>
      <c r="I26" s="5">
        <f t="shared" si="11"/>
        <v>9.5</v>
      </c>
      <c r="J26" s="5">
        <f t="shared" si="12"/>
        <v>9.5</v>
      </c>
      <c r="K26" s="5">
        <f t="shared" si="13"/>
        <v>85.5</v>
      </c>
      <c r="L26" s="5">
        <f t="shared" si="14"/>
        <v>3432.6810000000005</v>
      </c>
      <c r="M26" s="5">
        <f t="shared" si="15"/>
        <v>2.85</v>
      </c>
      <c r="N26" s="6">
        <f t="shared" ref="N26:N31" si="16">+G26/D26</f>
        <v>1.1381087818749826E-2</v>
      </c>
    </row>
    <row r="27" spans="1:14" x14ac:dyDescent="0.3">
      <c r="A27" s="3">
        <v>45159</v>
      </c>
      <c r="B27" s="2" t="s">
        <v>14</v>
      </c>
      <c r="C27" s="2" t="s">
        <v>15</v>
      </c>
      <c r="D27" s="4">
        <f t="shared" si="9"/>
        <v>8432.6810000000005</v>
      </c>
      <c r="G27" s="2">
        <v>49.81</v>
      </c>
      <c r="H27" s="5">
        <f t="shared" si="10"/>
        <v>3863.8999999999996</v>
      </c>
      <c r="I27" s="5">
        <f t="shared" si="11"/>
        <v>4.9810000000000008</v>
      </c>
      <c r="J27" s="5">
        <f t="shared" si="12"/>
        <v>4.9810000000000008</v>
      </c>
      <c r="K27" s="5">
        <f t="shared" si="13"/>
        <v>44.829000000000001</v>
      </c>
      <c r="L27" s="5">
        <f t="shared" si="14"/>
        <v>3477.5100000000007</v>
      </c>
      <c r="M27" s="5">
        <f t="shared" si="15"/>
        <v>1.4943</v>
      </c>
      <c r="N27" s="6">
        <f t="shared" si="16"/>
        <v>5.9067810106892453E-3</v>
      </c>
    </row>
    <row r="28" spans="1:14" x14ac:dyDescent="0.3">
      <c r="A28" s="3">
        <v>45191</v>
      </c>
      <c r="B28" s="2" t="s">
        <v>14</v>
      </c>
      <c r="C28" s="2" t="s">
        <v>15</v>
      </c>
      <c r="D28" s="4">
        <f t="shared" si="9"/>
        <v>8477.51</v>
      </c>
      <c r="G28" s="2">
        <v>143.5</v>
      </c>
      <c r="H28" s="5">
        <f t="shared" si="10"/>
        <v>4007.3999999999996</v>
      </c>
      <c r="I28" s="5">
        <f t="shared" si="11"/>
        <v>14.350000000000001</v>
      </c>
      <c r="J28" s="5">
        <f t="shared" si="12"/>
        <v>14.350000000000001</v>
      </c>
      <c r="K28" s="5">
        <f t="shared" si="13"/>
        <v>129.15</v>
      </c>
      <c r="L28" s="5">
        <f t="shared" si="14"/>
        <v>3606.6600000000008</v>
      </c>
      <c r="M28" s="5">
        <f t="shared" si="15"/>
        <v>4.3050000000000006</v>
      </c>
      <c r="N28" s="6">
        <f t="shared" si="16"/>
        <v>1.6927140162618506E-2</v>
      </c>
    </row>
    <row r="29" spans="1:14" x14ac:dyDescent="0.3">
      <c r="A29" s="3">
        <v>45223</v>
      </c>
      <c r="B29" s="2" t="s">
        <v>14</v>
      </c>
      <c r="C29" s="2" t="s">
        <v>15</v>
      </c>
      <c r="D29" s="4">
        <f t="shared" si="9"/>
        <v>8606.66</v>
      </c>
      <c r="G29" s="2">
        <v>141.06</v>
      </c>
      <c r="H29" s="5">
        <f t="shared" si="10"/>
        <v>4148.46</v>
      </c>
      <c r="I29" s="5">
        <f t="shared" si="11"/>
        <v>14.106000000000002</v>
      </c>
      <c r="J29" s="5">
        <f t="shared" si="12"/>
        <v>14.106000000000002</v>
      </c>
      <c r="K29" s="5">
        <f t="shared" si="13"/>
        <v>126.95400000000001</v>
      </c>
      <c r="L29" s="5">
        <f t="shared" si="14"/>
        <v>3733.6140000000009</v>
      </c>
      <c r="M29" s="5">
        <f t="shared" si="15"/>
        <v>4.2318000000000007</v>
      </c>
      <c r="N29" s="6">
        <f t="shared" si="16"/>
        <v>1.6389633144564791E-2</v>
      </c>
    </row>
    <row r="30" spans="1:14" x14ac:dyDescent="0.3">
      <c r="A30" s="3">
        <v>45255</v>
      </c>
      <c r="B30" s="2" t="s">
        <v>14</v>
      </c>
      <c r="C30" s="2" t="s">
        <v>15</v>
      </c>
      <c r="D30" s="4">
        <f t="shared" si="9"/>
        <v>8733.6139999999996</v>
      </c>
      <c r="G30" s="2">
        <v>424.5</v>
      </c>
      <c r="H30" s="5">
        <f t="shared" si="10"/>
        <v>4572.96</v>
      </c>
      <c r="I30" s="5">
        <f t="shared" si="11"/>
        <v>42.45</v>
      </c>
      <c r="J30" s="5">
        <f t="shared" si="12"/>
        <v>42.45</v>
      </c>
      <c r="K30" s="5">
        <f t="shared" si="13"/>
        <v>382.05</v>
      </c>
      <c r="L30" s="5">
        <f t="shared" si="14"/>
        <v>4115.6640000000007</v>
      </c>
      <c r="M30" s="5">
        <f t="shared" si="15"/>
        <v>12.735000000000001</v>
      </c>
      <c r="N30" s="6">
        <f t="shared" si="16"/>
        <v>4.8605308180553891E-2</v>
      </c>
    </row>
    <row r="31" spans="1:14" x14ac:dyDescent="0.3">
      <c r="A31" s="3">
        <v>45287</v>
      </c>
      <c r="B31" s="2" t="s">
        <v>14</v>
      </c>
      <c r="C31" s="2" t="s">
        <v>15</v>
      </c>
      <c r="D31" s="4">
        <f t="shared" si="9"/>
        <v>9115.6639999999989</v>
      </c>
      <c r="G31" s="2">
        <v>301.23</v>
      </c>
      <c r="H31" s="5">
        <f t="shared" si="10"/>
        <v>4874.1900000000005</v>
      </c>
      <c r="I31" s="5">
        <f t="shared" si="11"/>
        <v>30.123000000000005</v>
      </c>
      <c r="J31" s="5">
        <f t="shared" si="12"/>
        <v>30.123000000000005</v>
      </c>
      <c r="K31" s="5">
        <f t="shared" si="13"/>
        <v>271.10700000000003</v>
      </c>
      <c r="L31" s="5">
        <f t="shared" si="14"/>
        <v>4386.7710000000006</v>
      </c>
      <c r="M31" s="5">
        <f t="shared" si="15"/>
        <v>9.036900000000001</v>
      </c>
      <c r="N31" s="6">
        <f t="shared" si="16"/>
        <v>3.3045316281951599E-2</v>
      </c>
    </row>
    <row r="32" spans="1:14" x14ac:dyDescent="0.3">
      <c r="A32" s="3">
        <v>45319</v>
      </c>
      <c r="B32" s="2" t="s">
        <v>14</v>
      </c>
      <c r="C32" s="2" t="s">
        <v>15</v>
      </c>
      <c r="D32" s="4">
        <f t="shared" si="9"/>
        <v>9386.7709999999988</v>
      </c>
      <c r="G32" s="2">
        <v>215.91</v>
      </c>
      <c r="H32" s="5">
        <f t="shared" ref="H32:H34" si="17">+H31+G32</f>
        <v>5090.1000000000004</v>
      </c>
      <c r="I32" s="5">
        <f t="shared" ref="I32:I34" si="18">+G32*0.1</f>
        <v>21.591000000000001</v>
      </c>
      <c r="J32" s="5">
        <f t="shared" ref="J32:J34" si="19">+I32</f>
        <v>21.591000000000001</v>
      </c>
      <c r="K32" s="5">
        <f t="shared" ref="K32:K34" si="20">+G32-I32</f>
        <v>194.31899999999999</v>
      </c>
      <c r="L32" s="5">
        <f t="shared" ref="L32:L34" si="21">+L31+K32</f>
        <v>4581.0900000000011</v>
      </c>
      <c r="M32" s="5">
        <f t="shared" ref="M32:M34" si="22">+K32/30</f>
        <v>6.4772999999999996</v>
      </c>
      <c r="N32" s="6">
        <f t="shared" ref="N32:N34" si="23">+G32/D32</f>
        <v>2.3001519904981171E-2</v>
      </c>
    </row>
    <row r="33" spans="1:14" x14ac:dyDescent="0.3">
      <c r="A33" s="3">
        <v>45351</v>
      </c>
      <c r="B33" s="2" t="s">
        <v>14</v>
      </c>
      <c r="C33" s="2" t="s">
        <v>15</v>
      </c>
      <c r="D33" s="4">
        <f t="shared" si="9"/>
        <v>9581.0899999999983</v>
      </c>
      <c r="G33" s="2">
        <v>194.89</v>
      </c>
      <c r="H33" s="5">
        <f t="shared" si="17"/>
        <v>5284.9900000000007</v>
      </c>
      <c r="I33" s="5">
        <f t="shared" si="18"/>
        <v>19.489000000000001</v>
      </c>
      <c r="J33" s="5">
        <f t="shared" si="19"/>
        <v>19.489000000000001</v>
      </c>
      <c r="K33" s="5">
        <f t="shared" si="20"/>
        <v>175.40099999999998</v>
      </c>
      <c r="L33" s="5">
        <f t="shared" si="21"/>
        <v>4756.4910000000009</v>
      </c>
      <c r="M33" s="5">
        <f t="shared" si="22"/>
        <v>5.8466999999999993</v>
      </c>
      <c r="N33" s="6">
        <f t="shared" si="23"/>
        <v>2.034110941448207E-2</v>
      </c>
    </row>
    <row r="34" spans="1:14" x14ac:dyDescent="0.3">
      <c r="A34" s="3">
        <v>45352</v>
      </c>
      <c r="B34" s="2" t="s">
        <v>14</v>
      </c>
      <c r="C34" s="2" t="s">
        <v>15</v>
      </c>
      <c r="D34" s="4">
        <f t="shared" si="9"/>
        <v>9756.4909999999982</v>
      </c>
      <c r="G34" s="2">
        <v>298.25</v>
      </c>
      <c r="H34" s="5">
        <f t="shared" si="17"/>
        <v>5583.2400000000007</v>
      </c>
      <c r="I34" s="5">
        <f t="shared" si="18"/>
        <v>29.825000000000003</v>
      </c>
      <c r="J34" s="5">
        <f t="shared" si="19"/>
        <v>29.825000000000003</v>
      </c>
      <c r="K34" s="5">
        <f t="shared" si="20"/>
        <v>268.42500000000001</v>
      </c>
      <c r="L34" s="5">
        <f t="shared" si="21"/>
        <v>5024.9160000000011</v>
      </c>
      <c r="M34" s="5">
        <f t="shared" si="22"/>
        <v>8.9474999999999998</v>
      </c>
      <c r="N34" s="6">
        <f t="shared" si="23"/>
        <v>3.0569392212835542E-2</v>
      </c>
    </row>
    <row r="35" spans="1:14" x14ac:dyDescent="0.3">
      <c r="A35" s="3">
        <v>45384</v>
      </c>
      <c r="B35" s="2" t="s">
        <v>14</v>
      </c>
      <c r="C35" s="2" t="s">
        <v>15</v>
      </c>
      <c r="D35" s="4">
        <f t="shared" ref="D35" si="24">+D34+K34+E34-F34</f>
        <v>10024.915999999997</v>
      </c>
      <c r="G35" s="2">
        <v>239.87</v>
      </c>
      <c r="H35" s="5">
        <f t="shared" ref="H35:H36" si="25">+H34+G35</f>
        <v>5823.1100000000006</v>
      </c>
      <c r="I35" s="5">
        <f t="shared" ref="I35:I36" si="26">+G35*0.1</f>
        <v>23.987000000000002</v>
      </c>
      <c r="J35" s="5">
        <f t="shared" ref="J35:J36" si="27">+I35</f>
        <v>23.987000000000002</v>
      </c>
      <c r="K35" s="5">
        <f t="shared" ref="K35:K36" si="28">+G35-I35</f>
        <v>215.88300000000001</v>
      </c>
      <c r="L35" s="5">
        <f t="shared" ref="L35:L36" si="29">+L34+K35</f>
        <v>5240.7990000000009</v>
      </c>
      <c r="M35" s="5">
        <f t="shared" ref="M35:M36" si="30">+K35/30</f>
        <v>7.1961000000000004</v>
      </c>
      <c r="N35" s="6">
        <f t="shared" ref="N35:N36" si="31">+G35/D35</f>
        <v>2.3927382533679091E-2</v>
      </c>
    </row>
    <row r="36" spans="1:14" x14ac:dyDescent="0.3">
      <c r="A36" s="3">
        <v>45414</v>
      </c>
      <c r="B36" s="2" t="s">
        <v>14</v>
      </c>
      <c r="C36" s="2" t="s">
        <v>15</v>
      </c>
      <c r="D36" s="4">
        <f t="shared" ref="D36" si="32">+D35+K35+E35-F35</f>
        <v>10240.798999999997</v>
      </c>
      <c r="G36" s="2">
        <v>245.44</v>
      </c>
      <c r="H36" s="5">
        <f t="shared" si="25"/>
        <v>6068.55</v>
      </c>
      <c r="I36" s="5">
        <f t="shared" si="26"/>
        <v>24.544</v>
      </c>
      <c r="J36" s="5">
        <f t="shared" si="27"/>
        <v>24.544</v>
      </c>
      <c r="K36" s="5">
        <f t="shared" si="28"/>
        <v>220.89599999999999</v>
      </c>
      <c r="L36" s="5">
        <f t="shared" si="29"/>
        <v>5461.6950000000006</v>
      </c>
      <c r="M36" s="5">
        <f t="shared" si="30"/>
        <v>7.3632</v>
      </c>
      <c r="N36" s="6">
        <f t="shared" si="31"/>
        <v>2.3966879928021247E-2</v>
      </c>
    </row>
    <row r="37" spans="1:14" x14ac:dyDescent="0.3">
      <c r="A37" s="3">
        <v>45445</v>
      </c>
      <c r="B37" s="2" t="s">
        <v>14</v>
      </c>
      <c r="C37" s="2" t="s">
        <v>15</v>
      </c>
      <c r="D37" s="4">
        <f t="shared" ref="D37" si="33">+D36+K36+E36-F36</f>
        <v>10461.694999999998</v>
      </c>
      <c r="G37" s="2">
        <v>294.89</v>
      </c>
      <c r="H37" s="5">
        <f t="shared" ref="H37" si="34">+H36+G37</f>
        <v>6363.4400000000005</v>
      </c>
      <c r="I37" s="5">
        <f t="shared" ref="I37" si="35">+G37*0.1</f>
        <v>29.489000000000001</v>
      </c>
      <c r="J37" s="5">
        <f t="shared" ref="J37" si="36">+I37</f>
        <v>29.489000000000001</v>
      </c>
      <c r="K37" s="5">
        <f t="shared" ref="K37" si="37">+G37-I37</f>
        <v>265.40100000000001</v>
      </c>
      <c r="L37" s="5">
        <f t="shared" ref="L37" si="38">+L36+K37</f>
        <v>5727.0960000000005</v>
      </c>
      <c r="M37" s="5">
        <f t="shared" ref="M37" si="39">+K37/30</f>
        <v>8.8467000000000002</v>
      </c>
      <c r="N37" s="6">
        <f t="shared" ref="N37" si="40">+G37/D37</f>
        <v>2.8187592928296996E-2</v>
      </c>
    </row>
    <row r="38" spans="1:14" x14ac:dyDescent="0.3">
      <c r="A38" s="3">
        <v>45475</v>
      </c>
      <c r="B38" s="2" t="s">
        <v>14</v>
      </c>
      <c r="C38" s="2" t="s">
        <v>15</v>
      </c>
      <c r="D38" s="4">
        <f t="shared" ref="D38" si="41">+D37+K37+E37-F37</f>
        <v>10727.095999999998</v>
      </c>
      <c r="G38" s="2">
        <v>246.87</v>
      </c>
      <c r="H38" s="5">
        <f t="shared" ref="H38:H40" si="42">+H37+G38</f>
        <v>6610.31</v>
      </c>
      <c r="I38" s="5">
        <f t="shared" ref="I38:I40" si="43">+G38*0.1</f>
        <v>24.687000000000001</v>
      </c>
      <c r="J38" s="5">
        <f t="shared" ref="J38:J40" si="44">+I38</f>
        <v>24.687000000000001</v>
      </c>
      <c r="K38" s="5">
        <f t="shared" ref="K38:K40" si="45">+G38-I38</f>
        <v>222.18299999999999</v>
      </c>
      <c r="L38" s="5">
        <f t="shared" ref="L38:L40" si="46">+L37+K38</f>
        <v>5949.2790000000005</v>
      </c>
      <c r="M38" s="5">
        <f t="shared" ref="M38:M40" si="47">+K38/30</f>
        <v>7.4060999999999995</v>
      </c>
      <c r="N38" s="6">
        <f t="shared" ref="N38:N40" si="48">+G38/D38</f>
        <v>2.3013684225441821E-2</v>
      </c>
    </row>
    <row r="39" spans="1:14" x14ac:dyDescent="0.3">
      <c r="A39" s="3">
        <v>45506</v>
      </c>
      <c r="B39" s="2" t="s">
        <v>14</v>
      </c>
      <c r="C39" s="2" t="s">
        <v>15</v>
      </c>
      <c r="D39" s="4">
        <f t="shared" ref="D39:D40" si="49">+D38+K38+E38-F38</f>
        <v>10949.278999999999</v>
      </c>
      <c r="G39" s="2">
        <v>302.5</v>
      </c>
      <c r="H39" s="5">
        <f t="shared" si="42"/>
        <v>6912.81</v>
      </c>
      <c r="I39" s="5">
        <f t="shared" si="43"/>
        <v>30.25</v>
      </c>
      <c r="J39" s="5">
        <f t="shared" si="44"/>
        <v>30.25</v>
      </c>
      <c r="K39" s="5">
        <f t="shared" si="45"/>
        <v>272.25</v>
      </c>
      <c r="L39" s="5">
        <f t="shared" si="46"/>
        <v>6221.5290000000005</v>
      </c>
      <c r="M39" s="5">
        <f t="shared" si="47"/>
        <v>9.0749999999999993</v>
      </c>
      <c r="N39" s="6">
        <f t="shared" si="48"/>
        <v>2.7627389894804948E-2</v>
      </c>
    </row>
    <row r="40" spans="1:14" x14ac:dyDescent="0.3">
      <c r="A40" s="3">
        <v>45537</v>
      </c>
      <c r="B40" s="2" t="s">
        <v>14</v>
      </c>
      <c r="C40" s="2" t="s">
        <v>15</v>
      </c>
      <c r="D40" s="4">
        <f t="shared" si="49"/>
        <v>11221.528999999999</v>
      </c>
      <c r="G40" s="2">
        <v>244.89</v>
      </c>
      <c r="H40" s="5">
        <f t="shared" si="42"/>
        <v>7157.7000000000007</v>
      </c>
      <c r="I40" s="5">
        <f t="shared" si="43"/>
        <v>24.489000000000001</v>
      </c>
      <c r="J40" s="5">
        <f t="shared" si="44"/>
        <v>24.489000000000001</v>
      </c>
      <c r="K40" s="5">
        <f t="shared" si="45"/>
        <v>220.40099999999998</v>
      </c>
      <c r="L40" s="5">
        <f t="shared" si="46"/>
        <v>6441.93</v>
      </c>
      <c r="M40" s="5">
        <f t="shared" si="47"/>
        <v>7.3466999999999993</v>
      </c>
      <c r="N40" s="6">
        <f t="shared" si="48"/>
        <v>2.1823229258686586E-2</v>
      </c>
    </row>
    <row r="41" spans="1:14" x14ac:dyDescent="0.3">
      <c r="A41" s="3">
        <v>45567</v>
      </c>
      <c r="B41" s="2" t="s">
        <v>14</v>
      </c>
      <c r="C41" s="2" t="s">
        <v>15</v>
      </c>
      <c r="D41" s="4">
        <f t="shared" ref="D41:D42" si="50">+D40+K40+E40-F40</f>
        <v>11441.929999999998</v>
      </c>
      <c r="G41" s="2">
        <v>216.03</v>
      </c>
      <c r="H41" s="5">
        <f t="shared" ref="H41:H44" si="51">+H40+G41</f>
        <v>7373.7300000000005</v>
      </c>
      <c r="I41" s="5">
        <f t="shared" ref="I41:I44" si="52">+G41*0.1</f>
        <v>21.603000000000002</v>
      </c>
      <c r="J41" s="5">
        <f t="shared" ref="J41:J44" si="53">+I41</f>
        <v>21.603000000000002</v>
      </c>
      <c r="K41" s="5">
        <f t="shared" ref="K41:K44" si="54">+G41-I41</f>
        <v>194.42699999999999</v>
      </c>
      <c r="L41" s="5">
        <f t="shared" ref="L41:L44" si="55">+L40+K41</f>
        <v>6636.357</v>
      </c>
      <c r="M41" s="5">
        <f t="shared" ref="M41:M44" si="56">+K41/30</f>
        <v>6.4809000000000001</v>
      </c>
      <c r="N41" s="6">
        <f t="shared" ref="N41:N44" si="57">+G41/D41</f>
        <v>1.8880555990117055E-2</v>
      </c>
    </row>
    <row r="42" spans="1:14" x14ac:dyDescent="0.3">
      <c r="A42" s="3">
        <v>45598</v>
      </c>
      <c r="B42" s="2" t="s">
        <v>14</v>
      </c>
      <c r="C42" s="2" t="s">
        <v>15</v>
      </c>
      <c r="D42" s="4">
        <f t="shared" si="50"/>
        <v>11636.356999999998</v>
      </c>
      <c r="G42" s="2">
        <v>250.89</v>
      </c>
      <c r="H42" s="5">
        <f t="shared" si="51"/>
        <v>7624.6200000000008</v>
      </c>
      <c r="I42" s="5">
        <f t="shared" si="52"/>
        <v>25.088999999999999</v>
      </c>
      <c r="J42" s="5">
        <f t="shared" si="53"/>
        <v>25.088999999999999</v>
      </c>
      <c r="K42" s="5">
        <f t="shared" si="54"/>
        <v>225.80099999999999</v>
      </c>
      <c r="L42" s="5">
        <f t="shared" si="55"/>
        <v>6862.1580000000004</v>
      </c>
      <c r="M42" s="5">
        <f t="shared" si="56"/>
        <v>7.5266999999999999</v>
      </c>
      <c r="N42" s="6">
        <f t="shared" si="57"/>
        <v>2.1560871671434629E-2</v>
      </c>
    </row>
    <row r="43" spans="1:14" x14ac:dyDescent="0.3">
      <c r="A43" s="3">
        <v>45628</v>
      </c>
      <c r="B43" s="2" t="s">
        <v>14</v>
      </c>
      <c r="C43" s="2" t="s">
        <v>15</v>
      </c>
      <c r="D43" s="4">
        <f t="shared" ref="D43:D44" si="58">+D42+K42+E42-F42</f>
        <v>11862.157999999998</v>
      </c>
      <c r="G43" s="2">
        <v>228.6</v>
      </c>
      <c r="H43" s="5">
        <f t="shared" si="51"/>
        <v>7853.2200000000012</v>
      </c>
      <c r="I43" s="5">
        <f t="shared" si="52"/>
        <v>22.86</v>
      </c>
      <c r="J43" s="5">
        <f t="shared" si="53"/>
        <v>22.86</v>
      </c>
      <c r="K43" s="5">
        <f t="shared" si="54"/>
        <v>205.74</v>
      </c>
      <c r="L43" s="5">
        <f t="shared" si="55"/>
        <v>7067.8980000000001</v>
      </c>
      <c r="M43" s="5">
        <f t="shared" si="56"/>
        <v>6.8580000000000005</v>
      </c>
      <c r="N43" s="6">
        <f t="shared" si="57"/>
        <v>1.9271366980611795E-2</v>
      </c>
    </row>
    <row r="44" spans="1:14" x14ac:dyDescent="0.3">
      <c r="A44" s="3">
        <v>45659</v>
      </c>
      <c r="B44" s="2" t="s">
        <v>14</v>
      </c>
      <c r="C44" s="2" t="s">
        <v>15</v>
      </c>
      <c r="D44" s="4">
        <f t="shared" si="58"/>
        <v>12067.897999999997</v>
      </c>
      <c r="G44" s="2">
        <v>218.49</v>
      </c>
      <c r="H44" s="5">
        <f t="shared" si="51"/>
        <v>8071.7100000000009</v>
      </c>
      <c r="I44" s="5">
        <f t="shared" si="52"/>
        <v>21.849000000000004</v>
      </c>
      <c r="J44" s="5">
        <f t="shared" si="53"/>
        <v>21.849000000000004</v>
      </c>
      <c r="K44" s="5">
        <f t="shared" si="54"/>
        <v>196.64100000000002</v>
      </c>
      <c r="L44" s="5">
        <f t="shared" si="55"/>
        <v>7264.5389999999998</v>
      </c>
      <c r="M44" s="5">
        <f t="shared" si="56"/>
        <v>6.5547000000000004</v>
      </c>
      <c r="N44" s="6">
        <f t="shared" si="57"/>
        <v>1.8105058561151251E-2</v>
      </c>
    </row>
    <row r="45" spans="1:14" x14ac:dyDescent="0.3">
      <c r="A45" s="3">
        <v>45690</v>
      </c>
      <c r="B45" s="2" t="s">
        <v>14</v>
      </c>
      <c r="C45" s="2" t="s">
        <v>15</v>
      </c>
      <c r="D45" s="4">
        <f t="shared" ref="D45:D46" si="59">+D44+K44+E44-F44</f>
        <v>12264.538999999997</v>
      </c>
      <c r="G45" s="2">
        <v>271.01</v>
      </c>
      <c r="H45" s="5">
        <f t="shared" ref="H45:H46" si="60">+H44+G45</f>
        <v>8342.7200000000012</v>
      </c>
      <c r="I45" s="5">
        <f t="shared" ref="I45:I46" si="61">+G45*0.1</f>
        <v>27.100999999999999</v>
      </c>
      <c r="J45" s="5">
        <f t="shared" ref="J45:J46" si="62">+I45</f>
        <v>27.100999999999999</v>
      </c>
      <c r="K45" s="5">
        <f t="shared" ref="K45:K46" si="63">+G45-I45</f>
        <v>243.90899999999999</v>
      </c>
      <c r="L45" s="5">
        <f t="shared" ref="L45:L46" si="64">+L44+K45</f>
        <v>7508.4479999999994</v>
      </c>
      <c r="M45" s="5">
        <f t="shared" ref="M45:M46" si="65">+K45/30</f>
        <v>8.1303000000000001</v>
      </c>
      <c r="N45" s="6">
        <f t="shared" ref="N45:N46" si="66">+G45/D45</f>
        <v>2.2097039277220291E-2</v>
      </c>
    </row>
    <row r="46" spans="1:14" x14ac:dyDescent="0.3">
      <c r="A46" s="3">
        <v>45718</v>
      </c>
      <c r="B46" s="2" t="s">
        <v>14</v>
      </c>
      <c r="C46" s="2" t="s">
        <v>15</v>
      </c>
      <c r="D46" s="4">
        <f t="shared" si="59"/>
        <v>12508.447999999997</v>
      </c>
      <c r="G46" s="2">
        <v>217.55</v>
      </c>
      <c r="H46" s="5">
        <f t="shared" si="60"/>
        <v>8560.27</v>
      </c>
      <c r="I46" s="5">
        <f t="shared" si="61"/>
        <v>21.755000000000003</v>
      </c>
      <c r="J46" s="5">
        <f t="shared" si="62"/>
        <v>21.755000000000003</v>
      </c>
      <c r="K46" s="5">
        <f t="shared" si="63"/>
        <v>195.79500000000002</v>
      </c>
      <c r="L46" s="5">
        <f t="shared" si="64"/>
        <v>7704.2429999999995</v>
      </c>
      <c r="M46" s="5">
        <f t="shared" si="65"/>
        <v>6.5265000000000004</v>
      </c>
      <c r="N46" s="6">
        <f t="shared" si="66"/>
        <v>1.7392245624716998E-2</v>
      </c>
    </row>
    <row r="47" spans="1:14" x14ac:dyDescent="0.3">
      <c r="A47" s="3">
        <v>45749</v>
      </c>
      <c r="B47" s="2" t="s">
        <v>14</v>
      </c>
      <c r="C47" s="2" t="s">
        <v>15</v>
      </c>
      <c r="D47" s="4">
        <f t="shared" ref="D47:D48" si="67">+D46+K46+E46-F46</f>
        <v>12704.242999999997</v>
      </c>
      <c r="G47" s="2">
        <v>54.72</v>
      </c>
      <c r="H47" s="5">
        <f t="shared" ref="H47:H48" si="68">+H46+G47</f>
        <v>8614.99</v>
      </c>
      <c r="I47" s="5">
        <f t="shared" ref="I47:I48" si="69">+G47*0.1</f>
        <v>5.4720000000000004</v>
      </c>
      <c r="J47" s="5">
        <f t="shared" ref="J47:J48" si="70">+I47</f>
        <v>5.4720000000000004</v>
      </c>
      <c r="K47" s="5">
        <f t="shared" ref="K47:K48" si="71">+G47-I47</f>
        <v>49.247999999999998</v>
      </c>
      <c r="L47" s="5">
        <f t="shared" ref="L47:L48" si="72">+L46+K47</f>
        <v>7753.4909999999991</v>
      </c>
      <c r="M47" s="5">
        <f t="shared" ref="M47:M48" si="73">+K47/30</f>
        <v>1.6415999999999999</v>
      </c>
      <c r="N47" s="6">
        <f t="shared" ref="N47:N48" si="74">+G47/D47</f>
        <v>4.3072223980602396E-3</v>
      </c>
    </row>
    <row r="48" spans="1:14" x14ac:dyDescent="0.3">
      <c r="A48" s="3">
        <v>45779</v>
      </c>
      <c r="B48" s="2" t="s">
        <v>14</v>
      </c>
      <c r="C48" s="2" t="s">
        <v>15</v>
      </c>
      <c r="D48" s="4">
        <f t="shared" si="67"/>
        <v>12753.490999999996</v>
      </c>
      <c r="G48" s="2">
        <v>354.16</v>
      </c>
      <c r="H48" s="5">
        <f t="shared" si="68"/>
        <v>8969.15</v>
      </c>
      <c r="I48" s="5">
        <f t="shared" si="69"/>
        <v>35.416000000000004</v>
      </c>
      <c r="J48" s="5">
        <f t="shared" si="70"/>
        <v>35.416000000000004</v>
      </c>
      <c r="K48" s="5">
        <f t="shared" si="71"/>
        <v>318.74400000000003</v>
      </c>
      <c r="L48" s="5">
        <f t="shared" si="72"/>
        <v>8072.2349999999988</v>
      </c>
      <c r="M48" s="5">
        <f t="shared" si="73"/>
        <v>10.6248</v>
      </c>
      <c r="N48" s="6">
        <f t="shared" si="74"/>
        <v>2.7769651462489772E-2</v>
      </c>
    </row>
    <row r="49" spans="1:14" x14ac:dyDescent="0.3">
      <c r="A49" s="3">
        <v>45810</v>
      </c>
      <c r="B49" s="2" t="s">
        <v>14</v>
      </c>
      <c r="C49" s="2" t="s">
        <v>15</v>
      </c>
      <c r="D49" s="4">
        <f t="shared" ref="D49:D50" si="75">+D48+K48+E48-F48</f>
        <v>13072.234999999997</v>
      </c>
      <c r="G49" s="2">
        <v>413.25</v>
      </c>
      <c r="H49" s="5">
        <f t="shared" ref="H49" si="76">+H48+G49</f>
        <v>9382.4</v>
      </c>
      <c r="I49" s="5">
        <f t="shared" ref="I49" si="77">+G49*0.1</f>
        <v>41.325000000000003</v>
      </c>
      <c r="J49" s="5">
        <f t="shared" ref="J49" si="78">+I49</f>
        <v>41.325000000000003</v>
      </c>
      <c r="K49" s="5">
        <f t="shared" ref="K49" si="79">+G49-I49</f>
        <v>371.92500000000001</v>
      </c>
      <c r="L49" s="5">
        <f t="shared" ref="L49" si="80">+L48+K49</f>
        <v>8444.159999999998</v>
      </c>
      <c r="M49" s="5">
        <f t="shared" ref="M49" si="81">+K49/30</f>
        <v>12.397500000000001</v>
      </c>
      <c r="N49" s="6">
        <f t="shared" ref="N49" si="82">+G49/D49</f>
        <v>3.1612803778389854E-2</v>
      </c>
    </row>
    <row r="50" spans="1:14" x14ac:dyDescent="0.3">
      <c r="A50" s="3">
        <v>45840</v>
      </c>
      <c r="B50" s="2" t="s">
        <v>14</v>
      </c>
      <c r="C50" s="2" t="s">
        <v>15</v>
      </c>
      <c r="D50" s="4">
        <f t="shared" si="75"/>
        <v>13444.159999999996</v>
      </c>
      <c r="G50" s="2">
        <v>400.42</v>
      </c>
      <c r="H50" s="5">
        <f t="shared" ref="H50:H51" si="83">+H49+G50</f>
        <v>9782.82</v>
      </c>
      <c r="I50" s="5">
        <f t="shared" ref="I50:I51" si="84">+G50*0.1</f>
        <v>40.042000000000002</v>
      </c>
      <c r="J50" s="5">
        <f t="shared" ref="J50:J51" si="85">+I50</f>
        <v>40.042000000000002</v>
      </c>
      <c r="K50" s="5">
        <f t="shared" ref="K50:K51" si="86">+G50-I50</f>
        <v>360.37800000000004</v>
      </c>
      <c r="L50" s="5">
        <f t="shared" ref="L50:L51" si="87">+L49+K50</f>
        <v>8804.5379999999986</v>
      </c>
      <c r="M50" s="5">
        <f t="shared" ref="M50:M51" si="88">+K50/30</f>
        <v>12.012600000000001</v>
      </c>
      <c r="N50" s="6">
        <f t="shared" ref="N50:N51" si="89">+G50/D50</f>
        <v>2.9783935924594777E-2</v>
      </c>
    </row>
    <row r="51" spans="1:14" x14ac:dyDescent="0.3">
      <c r="A51" s="3">
        <v>45871</v>
      </c>
      <c r="B51" s="2" t="s">
        <v>14</v>
      </c>
      <c r="C51" s="2" t="s">
        <v>15</v>
      </c>
      <c r="D51" s="4">
        <f t="shared" ref="D51:D55" si="90">+D50+K50+E50-F50</f>
        <v>13804.537999999997</v>
      </c>
      <c r="G51" s="2">
        <v>193.26</v>
      </c>
      <c r="H51" s="5">
        <f t="shared" si="83"/>
        <v>9976.08</v>
      </c>
      <c r="I51" s="5">
        <f t="shared" si="84"/>
        <v>19.326000000000001</v>
      </c>
      <c r="J51" s="5">
        <f t="shared" si="85"/>
        <v>19.326000000000001</v>
      </c>
      <c r="K51" s="5">
        <f t="shared" si="86"/>
        <v>173.934</v>
      </c>
      <c r="L51" s="5">
        <f t="shared" si="87"/>
        <v>8978.4719999999979</v>
      </c>
      <c r="M51" s="5">
        <f t="shared" si="88"/>
        <v>5.7977999999999996</v>
      </c>
      <c r="N51" s="6">
        <f t="shared" si="89"/>
        <v>1.3999744142107475E-2</v>
      </c>
    </row>
    <row r="52" spans="1:14" x14ac:dyDescent="0.3">
      <c r="A52" s="3">
        <v>45902</v>
      </c>
      <c r="B52" s="2" t="s">
        <v>14</v>
      </c>
      <c r="C52" s="2" t="s">
        <v>15</v>
      </c>
      <c r="D52" s="4">
        <f t="shared" si="90"/>
        <v>13978.471999999996</v>
      </c>
      <c r="G52" s="2">
        <v>321.5</v>
      </c>
      <c r="H52" s="5">
        <f t="shared" ref="H52:H55" si="91">+H51+G52</f>
        <v>10297.58</v>
      </c>
      <c r="I52" s="5">
        <f t="shared" ref="I52:I55" si="92">+G52*0.1</f>
        <v>32.15</v>
      </c>
      <c r="J52" s="5">
        <f t="shared" ref="J52:J55" si="93">+I52</f>
        <v>32.15</v>
      </c>
      <c r="K52" s="5">
        <f t="shared" ref="K52:K55" si="94">+G52-I52</f>
        <v>289.35000000000002</v>
      </c>
      <c r="L52" s="5">
        <f t="shared" ref="L52:L55" si="95">+L51+K52</f>
        <v>9267.8219999999983</v>
      </c>
      <c r="M52" s="5">
        <f t="shared" ref="M52:M55" si="96">+K52/30</f>
        <v>9.6450000000000014</v>
      </c>
      <c r="N52" s="6">
        <f t="shared" ref="N52:N55" si="97">+G52/D52</f>
        <v>2.2999652608668535E-2</v>
      </c>
    </row>
    <row r="53" spans="1:14" x14ac:dyDescent="0.3">
      <c r="A53" s="3">
        <v>45932</v>
      </c>
      <c r="B53" s="2" t="s">
        <v>14</v>
      </c>
      <c r="C53" s="2" t="s">
        <v>15</v>
      </c>
      <c r="D53" s="4">
        <f t="shared" si="90"/>
        <v>14267.821999999996</v>
      </c>
      <c r="G53" s="2">
        <v>299.62</v>
      </c>
      <c r="H53" s="5">
        <f t="shared" si="91"/>
        <v>10597.2</v>
      </c>
      <c r="I53" s="5">
        <f t="shared" si="92"/>
        <v>29.962000000000003</v>
      </c>
      <c r="J53" s="5">
        <f t="shared" si="93"/>
        <v>29.962000000000003</v>
      </c>
      <c r="K53" s="5">
        <f t="shared" si="94"/>
        <v>269.65800000000002</v>
      </c>
      <c r="L53" s="5">
        <f t="shared" si="95"/>
        <v>9537.4799999999977</v>
      </c>
      <c r="M53" s="5">
        <f t="shared" si="96"/>
        <v>8.9885999999999999</v>
      </c>
      <c r="N53" s="6">
        <f t="shared" si="97"/>
        <v>2.0999701285872509E-2</v>
      </c>
    </row>
    <row r="54" spans="1:14" x14ac:dyDescent="0.3">
      <c r="A54" s="3">
        <v>45963</v>
      </c>
      <c r="B54" s="2" t="s">
        <v>14</v>
      </c>
      <c r="C54" s="2" t="s">
        <v>15</v>
      </c>
      <c r="D54" s="4">
        <f t="shared" si="90"/>
        <v>14537.479999999996</v>
      </c>
      <c r="G54" s="2">
        <v>523.35</v>
      </c>
      <c r="H54" s="5">
        <f t="shared" si="91"/>
        <v>11120.550000000001</v>
      </c>
      <c r="I54" s="5">
        <f t="shared" si="92"/>
        <v>52.335000000000008</v>
      </c>
      <c r="J54" s="5">
        <f t="shared" si="93"/>
        <v>52.335000000000008</v>
      </c>
      <c r="K54" s="5">
        <f t="shared" si="94"/>
        <v>471.01499999999999</v>
      </c>
      <c r="L54" s="5">
        <f t="shared" si="95"/>
        <v>10008.494999999997</v>
      </c>
      <c r="M54" s="5">
        <f t="shared" si="96"/>
        <v>15.7005</v>
      </c>
      <c r="N54" s="6">
        <f t="shared" si="97"/>
        <v>3.6000049527153272E-2</v>
      </c>
    </row>
    <row r="55" spans="1:14" x14ac:dyDescent="0.3">
      <c r="A55" s="3">
        <v>45993</v>
      </c>
      <c r="B55" s="2" t="s">
        <v>14</v>
      </c>
      <c r="C55" s="2" t="s">
        <v>15</v>
      </c>
      <c r="D55" s="4">
        <f t="shared" si="90"/>
        <v>15008.494999999995</v>
      </c>
      <c r="H55" s="5">
        <f t="shared" si="91"/>
        <v>11120.550000000001</v>
      </c>
      <c r="I55" s="5">
        <f t="shared" si="92"/>
        <v>0</v>
      </c>
      <c r="J55" s="5">
        <f t="shared" si="93"/>
        <v>0</v>
      </c>
      <c r="K55" s="5">
        <f t="shared" si="94"/>
        <v>0</v>
      </c>
      <c r="L55" s="5">
        <f t="shared" si="95"/>
        <v>10008.494999999997</v>
      </c>
      <c r="M55" s="5">
        <f t="shared" si="96"/>
        <v>0</v>
      </c>
      <c r="N55" s="6">
        <f t="shared" si="97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Fallone</cp:lastModifiedBy>
  <dcterms:created xsi:type="dcterms:W3CDTF">2023-05-21T14:56:22Z</dcterms:created>
  <dcterms:modified xsi:type="dcterms:W3CDTF">2025-12-17T11:52:02Z</dcterms:modified>
</cp:coreProperties>
</file>